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Akarsh\Courses\"/>
    </mc:Choice>
  </mc:AlternateContent>
  <xr:revisionPtr revIDLastSave="0" documentId="13_ncr:1_{0C874C5E-207F-4F4F-81E5-CDE0CED89B0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Bank Nifty Futures" sheetId="1" r:id="rId1"/>
    <sheet name="Nifty 50 Futures" sheetId="2" r:id="rId2"/>
    <sheet name="Bank Nifty Options" sheetId="3" r:id="rId3"/>
    <sheet name="Nifty 50 Op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  <c r="C14" i="4" s="1"/>
  <c r="D20" i="4"/>
  <c r="A20" i="4"/>
  <c r="C20" i="4" s="1"/>
  <c r="D14" i="4"/>
  <c r="D20" i="3"/>
  <c r="A20" i="3"/>
  <c r="C20" i="3" s="1"/>
  <c r="D14" i="3"/>
  <c r="A14" i="3"/>
  <c r="C14" i="3" s="1"/>
  <c r="D11" i="2"/>
  <c r="A11" i="2"/>
  <c r="C11" i="2" s="1"/>
  <c r="D7" i="2"/>
  <c r="A7" i="2"/>
  <c r="C7" i="2" s="1"/>
  <c r="D11" i="1"/>
  <c r="A11" i="1"/>
  <c r="C11" i="1" s="1"/>
  <c r="D7" i="1"/>
  <c r="A7" i="1"/>
  <c r="C7" i="1" s="1"/>
  <c r="A16" i="3" l="1"/>
  <c r="A22" i="4"/>
  <c r="B14" i="4"/>
  <c r="A22" i="3"/>
  <c r="B20" i="4"/>
  <c r="B20" i="3"/>
  <c r="B14" i="3"/>
  <c r="B7" i="2"/>
  <c r="B11" i="2"/>
  <c r="B11" i="1"/>
  <c r="B7" i="1"/>
</calcChain>
</file>

<file path=xl/sharedStrings.xml><?xml version="1.0" encoding="utf-8"?>
<sst xmlns="http://schemas.openxmlformats.org/spreadsheetml/2006/main" count="91" uniqueCount="36">
  <si>
    <t>2 Days Higher High</t>
  </si>
  <si>
    <t>2 days lower low</t>
  </si>
  <si>
    <t>Stop loss(Entry point -1.5%)</t>
  </si>
  <si>
    <t>Stop Loss(2DLL-0.15%)</t>
  </si>
  <si>
    <t>Buy</t>
  </si>
  <si>
    <t>Sell</t>
  </si>
  <si>
    <t>Entry point(2DHH+0.15%)</t>
  </si>
  <si>
    <t>Target(Entry point+1.5%)</t>
  </si>
  <si>
    <t>Entry point(2DLL-0.15%)</t>
  </si>
  <si>
    <t>Target(Entry point-1.5%)</t>
  </si>
  <si>
    <t>Stop loss(Entry point +1.5%)</t>
  </si>
  <si>
    <t>Stop Loss(2DHH+0.15%)</t>
  </si>
  <si>
    <t>Stop Loss which ever is highesh</t>
  </si>
  <si>
    <t>Stop Loss which ever is lowest</t>
  </si>
  <si>
    <t>Bank Nifty Futures</t>
  </si>
  <si>
    <t>Nifty50 Futures</t>
  </si>
  <si>
    <t>Bank Nifty Options</t>
  </si>
  <si>
    <t>Strike Price</t>
  </si>
  <si>
    <t>Entry point(2DH+5%)</t>
  </si>
  <si>
    <t>Target(Entry point+50%)</t>
  </si>
  <si>
    <t>Stop Loss(2DLL-7%)</t>
  </si>
  <si>
    <t>Stop loss(Entry point -50%)</t>
  </si>
  <si>
    <t>Call Buy</t>
  </si>
  <si>
    <t>Put Buy</t>
  </si>
  <si>
    <t>2 Days Higher high</t>
  </si>
  <si>
    <t>2 days Lower low</t>
  </si>
  <si>
    <t>Stop Loss which ever is highest</t>
  </si>
  <si>
    <t>Nifty50 Options</t>
  </si>
  <si>
    <t>Nearest 100 of Nifty50 2DHH</t>
  </si>
  <si>
    <t>Nearest 100 of Nifty50 2DLL</t>
  </si>
  <si>
    <t>Premium</t>
  </si>
  <si>
    <t>Nearest 100 of BankNifty 2DHH - Call Buy</t>
  </si>
  <si>
    <t>Nearest 100 of BankNifty 2DLL -Put buy</t>
  </si>
  <si>
    <t>Date</t>
  </si>
  <si>
    <t>No Trade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</si>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</sst>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15" fontId="0" fillId="0" borderId="0" xfId="0" applyNumberFormat="1"/>
    <xf numFmtId="9" fontId="0" fillId="0" borderId="0" xfId="1" applyFont="1"/>
    <xf numFmtId="164" fontId="0" fillId="0" borderId="0" xfId="1" applyNumberFormat="1" applyFont="1"/>
    <xf numFmtId="9" fontId="0" fillId="0" borderId="0" xfId="0" applyNumberFormat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0</xdr:row>
      <xdr:rowOff>0</xdr:rowOff>
    </xdr:from>
    <xdr:to>
      <xdr:col>15</xdr:col>
      <xdr:colOff>373380</xdr:colOff>
      <xdr:row>21</xdr:row>
      <xdr:rowOff>149996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D7A5FF-CE5A-4D29-8DC7-BFE46619A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1780" y="0"/>
          <a:ext cx="7467600" cy="39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D21" sqref="D21"/>
    </sheetView>
  </sheetViews>
  <sheetFormatPr defaultRowHeight="14.4" x14ac:dyDescent="0.3"/>
  <cols>
    <col min="1" max="1" width="22.6640625" style="2" bestFit="1" customWidth="1"/>
    <col min="2" max="2" width="22.33203125" style="2" bestFit="1" customWidth="1"/>
    <col min="3" max="3" width="24.88671875" style="2" bestFit="1" customWidth="1"/>
    <col min="4" max="4" width="21.109375" style="2" bestFit="1" customWidth="1"/>
    <col min="5" max="5" width="20.109375" style="2" bestFit="1" customWidth="1"/>
    <col min="6" max="16384" width="8.88671875" style="2"/>
  </cols>
  <sheetData>
    <row r="1" spans="1:4" x14ac:dyDescent="0.3">
      <c r="A1" s="13" t="s">
        <v>14</v>
      </c>
      <c r="B1" s="13"/>
    </row>
    <row r="2" spans="1:4" x14ac:dyDescent="0.3">
      <c r="A2" s="4" t="s">
        <v>0</v>
      </c>
      <c r="B2" s="4" t="s">
        <v>1</v>
      </c>
    </row>
    <row r="3" spans="1:4" x14ac:dyDescent="0.3">
      <c r="A3" s="1">
        <v>43500</v>
      </c>
      <c r="B3" s="1">
        <v>42200</v>
      </c>
    </row>
    <row r="5" spans="1:4" x14ac:dyDescent="0.3">
      <c r="A5" s="10" t="s">
        <v>4</v>
      </c>
      <c r="B5" s="10"/>
      <c r="C5" s="11" t="s">
        <v>12</v>
      </c>
      <c r="D5" s="11"/>
    </row>
    <row r="6" spans="1:4" x14ac:dyDescent="0.3">
      <c r="A6" s="5" t="s">
        <v>6</v>
      </c>
      <c r="B6" s="5" t="s">
        <v>7</v>
      </c>
      <c r="C6" s="5" t="s">
        <v>2</v>
      </c>
      <c r="D6" s="5" t="s">
        <v>3</v>
      </c>
    </row>
    <row r="7" spans="1:4" x14ac:dyDescent="0.3">
      <c r="A7" s="3">
        <f>(A3*0.15)/100+A3</f>
        <v>43565.25</v>
      </c>
      <c r="B7" s="3">
        <f>(A7*1.5)/100+A7</f>
        <v>44218.728750000002</v>
      </c>
      <c r="C7" s="3">
        <f>A7-(A7*1.5)/100</f>
        <v>42911.771249999998</v>
      </c>
      <c r="D7" s="3">
        <f>B3-(B3*0.15)/100</f>
        <v>42136.7</v>
      </c>
    </row>
    <row r="9" spans="1:4" x14ac:dyDescent="0.3">
      <c r="A9" s="12" t="s">
        <v>5</v>
      </c>
      <c r="B9" s="12"/>
      <c r="C9" s="11" t="s">
        <v>13</v>
      </c>
      <c r="D9" s="11"/>
    </row>
    <row r="10" spans="1:4" x14ac:dyDescent="0.3">
      <c r="A10" s="5" t="s">
        <v>8</v>
      </c>
      <c r="B10" s="5" t="s">
        <v>9</v>
      </c>
      <c r="C10" s="5" t="s">
        <v>10</v>
      </c>
      <c r="D10" s="5" t="s">
        <v>11</v>
      </c>
    </row>
    <row r="11" spans="1:4" x14ac:dyDescent="0.3">
      <c r="A11" s="3">
        <f>B3-(B3*0.15)/100</f>
        <v>42136.7</v>
      </c>
      <c r="B11" s="3">
        <f>A11-(A11*1.5)/100</f>
        <v>41504.6495</v>
      </c>
      <c r="C11" s="3">
        <f>A11+(A11*1.5)/100</f>
        <v>42768.750499999995</v>
      </c>
      <c r="D11" s="3">
        <f>A3+(A3*0.15)/100</f>
        <v>43565.25</v>
      </c>
    </row>
  </sheetData>
  <mergeCells count="5">
    <mergeCell ref="A5:B5"/>
    <mergeCell ref="C5:D5"/>
    <mergeCell ref="C9:D9"/>
    <mergeCell ref="A9:B9"/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86FB-431C-4E75-8BFE-6DAFA5E14605}">
  <dimension ref="A1:D11"/>
  <sheetViews>
    <sheetView workbookViewId="0">
      <selection activeCell="A9" sqref="A9:B9"/>
    </sheetView>
  </sheetViews>
  <sheetFormatPr defaultRowHeight="14.4" x14ac:dyDescent="0.3"/>
  <cols>
    <col min="1" max="1" width="22.6640625" bestFit="1" customWidth="1"/>
    <col min="2" max="2" width="22.33203125" bestFit="1" customWidth="1"/>
    <col min="3" max="3" width="24.88671875" bestFit="1" customWidth="1"/>
    <col min="4" max="4" width="21.109375" bestFit="1" customWidth="1"/>
  </cols>
  <sheetData>
    <row r="1" spans="1:4" x14ac:dyDescent="0.3">
      <c r="A1" s="13" t="s">
        <v>15</v>
      </c>
      <c r="B1" s="13"/>
      <c r="C1" s="2"/>
      <c r="D1" s="2"/>
    </row>
    <row r="2" spans="1:4" x14ac:dyDescent="0.3">
      <c r="A2" s="4" t="s">
        <v>0</v>
      </c>
      <c r="B2" s="4" t="s">
        <v>1</v>
      </c>
      <c r="C2" s="2"/>
      <c r="D2" s="2"/>
    </row>
    <row r="3" spans="1:4" x14ac:dyDescent="0.3">
      <c r="A3" s="1">
        <v>43500</v>
      </c>
      <c r="B3" s="1">
        <v>42200</v>
      </c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10" t="s">
        <v>4</v>
      </c>
      <c r="B5" s="10"/>
      <c r="C5" s="11" t="s">
        <v>12</v>
      </c>
      <c r="D5" s="11"/>
    </row>
    <row r="6" spans="1:4" x14ac:dyDescent="0.3">
      <c r="A6" s="5" t="s">
        <v>6</v>
      </c>
      <c r="B6" s="5" t="s">
        <v>7</v>
      </c>
      <c r="C6" s="5" t="s">
        <v>2</v>
      </c>
      <c r="D6" s="5" t="s">
        <v>3</v>
      </c>
    </row>
    <row r="7" spans="1:4" x14ac:dyDescent="0.3">
      <c r="A7" s="3">
        <f>(A3*0.15)/100+A3</f>
        <v>43565.25</v>
      </c>
      <c r="B7" s="3">
        <f>(A7*1.5)/100+A7</f>
        <v>44218.728750000002</v>
      </c>
      <c r="C7" s="3">
        <f>A7-(A7*1.5)/100</f>
        <v>42911.771249999998</v>
      </c>
      <c r="D7" s="3">
        <f>B3-(B3*0.15)/100</f>
        <v>42136.7</v>
      </c>
    </row>
    <row r="8" spans="1:4" x14ac:dyDescent="0.3">
      <c r="A8" s="2"/>
      <c r="B8" s="2"/>
      <c r="C8" s="2"/>
      <c r="D8" s="2"/>
    </row>
    <row r="9" spans="1:4" x14ac:dyDescent="0.3">
      <c r="A9" s="12" t="s">
        <v>5</v>
      </c>
      <c r="B9" s="12"/>
      <c r="C9" s="11" t="s">
        <v>13</v>
      </c>
      <c r="D9" s="11"/>
    </row>
    <row r="10" spans="1:4" x14ac:dyDescent="0.3">
      <c r="A10" s="5" t="s">
        <v>8</v>
      </c>
      <c r="B10" s="5" t="s">
        <v>9</v>
      </c>
      <c r="C10" s="5" t="s">
        <v>10</v>
      </c>
      <c r="D10" s="5" t="s">
        <v>11</v>
      </c>
    </row>
    <row r="11" spans="1:4" x14ac:dyDescent="0.3">
      <c r="A11" s="3">
        <f>B3-(B3*0.15)/100</f>
        <v>42136.7</v>
      </c>
      <c r="B11" s="3">
        <f>A11-(A11*1.5)/100</f>
        <v>41504.6495</v>
      </c>
      <c r="C11" s="3">
        <f>A11+(A11*1.5)/100</f>
        <v>42768.750499999995</v>
      </c>
      <c r="D11" s="3">
        <f>A3+(A3*0.15)/100</f>
        <v>43565.25</v>
      </c>
    </row>
  </sheetData>
  <mergeCells count="5">
    <mergeCell ref="A1:B1"/>
    <mergeCell ref="A5:B5"/>
    <mergeCell ref="C5:D5"/>
    <mergeCell ref="A9:B9"/>
    <mergeCell ref="C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2C48-0B76-4A27-BC5A-98AF1952C33E}">
  <dimension ref="A1:L22"/>
  <sheetViews>
    <sheetView tabSelected="1" zoomScaleNormal="100" workbookViewId="0">
      <selection activeCell="H15" sqref="H15"/>
    </sheetView>
  </sheetViews>
  <sheetFormatPr defaultRowHeight="14.4" x14ac:dyDescent="0.3"/>
  <cols>
    <col min="1" max="1" width="22.6640625" bestFit="1" customWidth="1"/>
    <col min="2" max="2" width="22.33203125" bestFit="1" customWidth="1"/>
    <col min="3" max="3" width="24.88671875" bestFit="1" customWidth="1"/>
    <col min="4" max="4" width="21.109375" bestFit="1" customWidth="1"/>
    <col min="7" max="7" width="9.21875" bestFit="1" customWidth="1"/>
  </cols>
  <sheetData>
    <row r="1" spans="1:8" x14ac:dyDescent="0.3">
      <c r="A1" s="13" t="s">
        <v>16</v>
      </c>
      <c r="B1" s="13"/>
      <c r="C1" s="2"/>
      <c r="D1" s="2"/>
      <c r="G1" t="s">
        <v>33</v>
      </c>
    </row>
    <row r="2" spans="1:8" x14ac:dyDescent="0.3">
      <c r="A2" s="4" t="s">
        <v>0</v>
      </c>
      <c r="B2" s="4" t="s">
        <v>1</v>
      </c>
      <c r="C2" s="2"/>
      <c r="D2" s="2"/>
      <c r="G2" s="6">
        <v>45576</v>
      </c>
      <c r="H2" t="s">
        <v>34</v>
      </c>
    </row>
    <row r="3" spans="1:8" x14ac:dyDescent="0.3">
      <c r="A3" s="1">
        <v>52577</v>
      </c>
      <c r="B3" s="1">
        <v>51179</v>
      </c>
      <c r="C3" s="2"/>
      <c r="D3" s="2"/>
      <c r="G3" s="6">
        <v>45577</v>
      </c>
      <c r="H3" t="s">
        <v>35</v>
      </c>
    </row>
    <row r="4" spans="1:8" x14ac:dyDescent="0.3">
      <c r="A4" s="2"/>
      <c r="B4" s="2"/>
      <c r="C4" s="2"/>
      <c r="D4" s="2"/>
      <c r="G4" s="6">
        <v>45578</v>
      </c>
      <c r="H4" t="s">
        <v>35</v>
      </c>
    </row>
    <row r="5" spans="1:8" x14ac:dyDescent="0.3">
      <c r="A5" s="14" t="s">
        <v>17</v>
      </c>
      <c r="B5" s="14"/>
      <c r="C5" s="14"/>
      <c r="D5" s="14"/>
      <c r="G5" s="6">
        <v>45579</v>
      </c>
      <c r="H5" t="s">
        <v>34</v>
      </c>
    </row>
    <row r="6" spans="1:8" x14ac:dyDescent="0.3">
      <c r="A6" s="11" t="s">
        <v>31</v>
      </c>
      <c r="B6" s="11"/>
      <c r="C6" s="11" t="s">
        <v>32</v>
      </c>
      <c r="D6" s="11"/>
      <c r="G6" s="6">
        <v>45580</v>
      </c>
      <c r="H6" s="9">
        <v>0.08</v>
      </c>
    </row>
    <row r="7" spans="1:8" x14ac:dyDescent="0.3">
      <c r="A7" s="19">
        <v>52600</v>
      </c>
      <c r="B7" s="19"/>
      <c r="C7" s="19">
        <v>51200</v>
      </c>
      <c r="D7" s="19"/>
      <c r="G7" s="6">
        <v>45581</v>
      </c>
      <c r="H7" t="s">
        <v>34</v>
      </c>
    </row>
    <row r="8" spans="1:8" x14ac:dyDescent="0.3">
      <c r="A8" s="5" t="s">
        <v>24</v>
      </c>
      <c r="B8" s="5" t="s">
        <v>25</v>
      </c>
      <c r="C8" s="5" t="s">
        <v>24</v>
      </c>
      <c r="D8" s="5" t="s">
        <v>25</v>
      </c>
      <c r="G8" s="6">
        <v>45582</v>
      </c>
      <c r="H8" s="9">
        <v>0.67</v>
      </c>
    </row>
    <row r="9" spans="1:8" x14ac:dyDescent="0.3">
      <c r="A9" s="3">
        <v>273</v>
      </c>
      <c r="B9" s="3">
        <v>7</v>
      </c>
      <c r="C9" s="3">
        <v>170</v>
      </c>
      <c r="D9" s="3">
        <v>18</v>
      </c>
      <c r="G9" s="6">
        <v>45583</v>
      </c>
      <c r="H9" s="9">
        <v>0.09</v>
      </c>
    </row>
    <row r="10" spans="1:8" x14ac:dyDescent="0.3">
      <c r="G10" s="6">
        <v>45584</v>
      </c>
      <c r="H10" t="s">
        <v>35</v>
      </c>
    </row>
    <row r="11" spans="1:8" x14ac:dyDescent="0.3">
      <c r="G11" s="6">
        <v>45585</v>
      </c>
      <c r="H11" t="s">
        <v>35</v>
      </c>
    </row>
    <row r="12" spans="1:8" x14ac:dyDescent="0.3">
      <c r="A12" s="10" t="s">
        <v>22</v>
      </c>
      <c r="B12" s="10"/>
      <c r="C12" s="11" t="s">
        <v>12</v>
      </c>
      <c r="D12" s="11"/>
      <c r="G12" s="6">
        <v>45586</v>
      </c>
      <c r="H12" s="9">
        <v>0.23</v>
      </c>
    </row>
    <row r="13" spans="1:8" x14ac:dyDescent="0.3">
      <c r="A13" s="5" t="s">
        <v>18</v>
      </c>
      <c r="B13" s="5" t="s">
        <v>19</v>
      </c>
      <c r="C13" s="5" t="s">
        <v>21</v>
      </c>
      <c r="D13" s="5" t="s">
        <v>20</v>
      </c>
      <c r="G13" s="6">
        <v>45587</v>
      </c>
      <c r="H13" t="s">
        <v>34</v>
      </c>
    </row>
    <row r="14" spans="1:8" x14ac:dyDescent="0.3">
      <c r="A14" s="3">
        <f>A9+(A9*5)/100</f>
        <v>286.64999999999998</v>
      </c>
      <c r="B14" s="3">
        <f>(A14*50)/100+A14</f>
        <v>429.97499999999997</v>
      </c>
      <c r="C14" s="3">
        <f>A14-(A14*50)/100</f>
        <v>143.32499999999999</v>
      </c>
      <c r="D14" s="3">
        <f>B9-(B9*7)/100</f>
        <v>6.51</v>
      </c>
      <c r="G14" s="6">
        <v>45588</v>
      </c>
      <c r="H14" s="9">
        <v>0.4</v>
      </c>
    </row>
    <row r="15" spans="1:8" x14ac:dyDescent="0.3">
      <c r="A15" s="5" t="s">
        <v>30</v>
      </c>
      <c r="B15" s="2"/>
      <c r="C15" s="2"/>
      <c r="D15" s="2"/>
      <c r="G15" s="6">
        <v>45589</v>
      </c>
    </row>
    <row r="16" spans="1:8" x14ac:dyDescent="0.3">
      <c r="A16" s="3">
        <f>A14*15</f>
        <v>4299.75</v>
      </c>
      <c r="G16" s="6">
        <v>45590</v>
      </c>
    </row>
    <row r="17" spans="1:12" x14ac:dyDescent="0.3">
      <c r="G17" s="6">
        <v>45591</v>
      </c>
      <c r="H17" s="8"/>
    </row>
    <row r="18" spans="1:12" x14ac:dyDescent="0.3">
      <c r="A18" s="15" t="s">
        <v>23</v>
      </c>
      <c r="B18" s="16"/>
      <c r="C18" s="17" t="s">
        <v>26</v>
      </c>
      <c r="D18" s="18"/>
      <c r="H18" s="7"/>
    </row>
    <row r="19" spans="1:12" x14ac:dyDescent="0.3">
      <c r="A19" s="5" t="s">
        <v>18</v>
      </c>
      <c r="B19" s="5" t="s">
        <v>19</v>
      </c>
      <c r="C19" s="5" t="s">
        <v>21</v>
      </c>
      <c r="D19" s="5" t="s">
        <v>20</v>
      </c>
      <c r="I19" s="7"/>
    </row>
    <row r="20" spans="1:12" x14ac:dyDescent="0.3">
      <c r="A20" s="3">
        <f>C9+(C9*5)/100</f>
        <v>178.5</v>
      </c>
      <c r="B20" s="3">
        <f>A20+(A20*50)/100</f>
        <v>267.75</v>
      </c>
      <c r="C20" s="3">
        <f>A20-(A20*50)/100</f>
        <v>89.25</v>
      </c>
      <c r="D20" s="3">
        <f>D9-(D9*7)/100</f>
        <v>16.739999999999998</v>
      </c>
      <c r="G20" s="6"/>
      <c r="I20" s="7"/>
    </row>
    <row r="21" spans="1:12" x14ac:dyDescent="0.3">
      <c r="A21" s="5" t="s">
        <v>30</v>
      </c>
      <c r="L21" s="7"/>
    </row>
    <row r="22" spans="1:12" x14ac:dyDescent="0.3">
      <c r="A22" s="3">
        <f>A20*15</f>
        <v>2677.5</v>
      </c>
    </row>
  </sheetData>
  <mergeCells count="10">
    <mergeCell ref="A5:D5"/>
    <mergeCell ref="A1:B1"/>
    <mergeCell ref="A12:B12"/>
    <mergeCell ref="C12:D12"/>
    <mergeCell ref="A18:B18"/>
    <mergeCell ref="C18:D18"/>
    <mergeCell ref="A6:B6"/>
    <mergeCell ref="A7:B7"/>
    <mergeCell ref="C6:D6"/>
    <mergeCell ref="C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F13E-4B0B-4689-9B43-F3C12AFF2964}">
  <dimension ref="A1:G22"/>
  <sheetViews>
    <sheetView workbookViewId="0">
      <selection activeCell="I15" sqref="I15"/>
    </sheetView>
  </sheetViews>
  <sheetFormatPr defaultRowHeight="14.4" x14ac:dyDescent="0.3"/>
  <cols>
    <col min="1" max="1" width="18.77734375" bestFit="1" customWidth="1"/>
    <col min="2" max="2" width="21.77734375" bestFit="1" customWidth="1"/>
    <col min="3" max="3" width="24" bestFit="1" customWidth="1"/>
    <col min="4" max="4" width="17.5546875" bestFit="1" customWidth="1"/>
    <col min="6" max="6" width="9.21875" bestFit="1" customWidth="1"/>
  </cols>
  <sheetData>
    <row r="1" spans="1:7" x14ac:dyDescent="0.3">
      <c r="A1" s="13" t="s">
        <v>27</v>
      </c>
      <c r="B1" s="13"/>
      <c r="C1" s="2"/>
      <c r="D1" s="2"/>
      <c r="F1" t="s">
        <v>33</v>
      </c>
    </row>
    <row r="2" spans="1:7" x14ac:dyDescent="0.3">
      <c r="A2" s="4" t="s">
        <v>0</v>
      </c>
      <c r="B2" s="4" t="s">
        <v>1</v>
      </c>
      <c r="C2" s="2"/>
      <c r="D2" s="2"/>
      <c r="F2" s="6">
        <v>45576</v>
      </c>
      <c r="G2" t="s">
        <v>34</v>
      </c>
    </row>
    <row r="3" spans="1:7" x14ac:dyDescent="0.3">
      <c r="A3" s="1">
        <v>25134</v>
      </c>
      <c r="B3" s="1">
        <v>24920</v>
      </c>
      <c r="C3" s="2"/>
      <c r="D3" s="2"/>
      <c r="F3" s="6">
        <v>45577</v>
      </c>
      <c r="G3" t="s">
        <v>35</v>
      </c>
    </row>
    <row r="4" spans="1:7" x14ac:dyDescent="0.3">
      <c r="A4" s="2"/>
      <c r="B4" s="2"/>
      <c r="C4" s="2"/>
      <c r="D4" s="2"/>
      <c r="F4" s="6">
        <v>45578</v>
      </c>
      <c r="G4" t="s">
        <v>35</v>
      </c>
    </row>
    <row r="5" spans="1:7" x14ac:dyDescent="0.3">
      <c r="A5" s="14" t="s">
        <v>17</v>
      </c>
      <c r="B5" s="14"/>
      <c r="C5" s="14"/>
      <c r="D5" s="14"/>
      <c r="F5" s="6">
        <v>45579</v>
      </c>
    </row>
    <row r="6" spans="1:7" x14ac:dyDescent="0.3">
      <c r="A6" s="11" t="s">
        <v>28</v>
      </c>
      <c r="B6" s="11"/>
      <c r="C6" s="11" t="s">
        <v>29</v>
      </c>
      <c r="D6" s="11"/>
      <c r="F6" s="6">
        <v>45580</v>
      </c>
    </row>
    <row r="7" spans="1:7" x14ac:dyDescent="0.3">
      <c r="A7" s="19">
        <v>25100</v>
      </c>
      <c r="B7" s="19"/>
      <c r="C7" s="19">
        <v>24900</v>
      </c>
      <c r="D7" s="19"/>
      <c r="F7" s="6">
        <v>45581</v>
      </c>
    </row>
    <row r="8" spans="1:7" x14ac:dyDescent="0.3">
      <c r="A8" s="5" t="s">
        <v>24</v>
      </c>
      <c r="B8" s="5" t="s">
        <v>25</v>
      </c>
      <c r="C8" s="5" t="s">
        <v>24</v>
      </c>
      <c r="D8" s="5" t="s">
        <v>25</v>
      </c>
      <c r="F8" s="6">
        <v>45582</v>
      </c>
    </row>
    <row r="9" spans="1:7" x14ac:dyDescent="0.3">
      <c r="A9" s="3">
        <v>224</v>
      </c>
      <c r="B9" s="3">
        <v>76</v>
      </c>
      <c r="C9" s="3">
        <v>153</v>
      </c>
      <c r="D9" s="3">
        <v>73</v>
      </c>
      <c r="F9" s="6">
        <v>45583</v>
      </c>
    </row>
    <row r="10" spans="1:7" x14ac:dyDescent="0.3">
      <c r="F10" s="6">
        <v>45584</v>
      </c>
    </row>
    <row r="11" spans="1:7" x14ac:dyDescent="0.3">
      <c r="F11" s="6">
        <v>45585</v>
      </c>
    </row>
    <row r="12" spans="1:7" x14ac:dyDescent="0.3">
      <c r="A12" s="10" t="s">
        <v>22</v>
      </c>
      <c r="B12" s="10"/>
      <c r="C12" s="11" t="s">
        <v>12</v>
      </c>
      <c r="D12" s="11"/>
    </row>
    <row r="13" spans="1:7" x14ac:dyDescent="0.3">
      <c r="A13" s="5" t="s">
        <v>18</v>
      </c>
      <c r="B13" s="5" t="s">
        <v>19</v>
      </c>
      <c r="C13" s="5" t="s">
        <v>21</v>
      </c>
      <c r="D13" s="5" t="s">
        <v>20</v>
      </c>
    </row>
    <row r="14" spans="1:7" x14ac:dyDescent="0.3">
      <c r="A14" s="3">
        <f>A9+(A9*5)/100</f>
        <v>235.2</v>
      </c>
      <c r="B14" s="3">
        <f>(A14*50)/100+A14</f>
        <v>352.79999999999995</v>
      </c>
      <c r="C14" s="3">
        <f>A14-(A14*50)/100</f>
        <v>117.6</v>
      </c>
      <c r="D14" s="3">
        <f>B9-(B9*7)/100</f>
        <v>70.680000000000007</v>
      </c>
    </row>
    <row r="15" spans="1:7" x14ac:dyDescent="0.3">
      <c r="A15" s="5" t="s">
        <v>30</v>
      </c>
      <c r="B15" s="2"/>
      <c r="C15" s="2"/>
      <c r="D15" s="2"/>
    </row>
    <row r="16" spans="1:7" x14ac:dyDescent="0.3">
      <c r="A16" s="3">
        <f>A14*25</f>
        <v>5880</v>
      </c>
    </row>
    <row r="18" spans="1:4" x14ac:dyDescent="0.3">
      <c r="A18" s="15" t="s">
        <v>23</v>
      </c>
      <c r="B18" s="16"/>
      <c r="C18" s="17" t="s">
        <v>26</v>
      </c>
      <c r="D18" s="18"/>
    </row>
    <row r="19" spans="1:4" x14ac:dyDescent="0.3">
      <c r="A19" s="5" t="s">
        <v>18</v>
      </c>
      <c r="B19" s="5" t="s">
        <v>19</v>
      </c>
      <c r="C19" s="5" t="s">
        <v>21</v>
      </c>
      <c r="D19" s="5" t="s">
        <v>20</v>
      </c>
    </row>
    <row r="20" spans="1:4" x14ac:dyDescent="0.3">
      <c r="A20" s="3">
        <f>C9+(C9*5)/100</f>
        <v>160.65</v>
      </c>
      <c r="B20" s="3">
        <f>A20+(A20*50)/100</f>
        <v>240.97500000000002</v>
      </c>
      <c r="C20" s="3">
        <f>A20-(A20*50)/100</f>
        <v>80.325000000000003</v>
      </c>
      <c r="D20" s="3">
        <f>D9-(D9*7)/100</f>
        <v>67.89</v>
      </c>
    </row>
    <row r="21" spans="1:4" x14ac:dyDescent="0.3">
      <c r="A21" s="4" t="s">
        <v>30</v>
      </c>
    </row>
    <row r="22" spans="1:4" x14ac:dyDescent="0.3">
      <c r="A22" s="1">
        <f>A20*25</f>
        <v>4016.25</v>
      </c>
    </row>
  </sheetData>
  <mergeCells count="10">
    <mergeCell ref="A12:B12"/>
    <mergeCell ref="C12:D12"/>
    <mergeCell ref="A18:B18"/>
    <mergeCell ref="C18:D18"/>
    <mergeCell ref="A1:B1"/>
    <mergeCell ref="A5:D5"/>
    <mergeCell ref="A6:B6"/>
    <mergeCell ref="C6:D6"/>
    <mergeCell ref="A7:B7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 Nifty Futures</vt:lpstr>
      <vt:lpstr>Nifty 50 Futures</vt:lpstr>
      <vt:lpstr>Bank Nifty Options</vt:lpstr>
      <vt:lpstr>Nifty 50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 Madaraboina</dc:creator>
  <cp:lastModifiedBy>Akarsh Madaraboina</cp:lastModifiedBy>
  <dcterms:created xsi:type="dcterms:W3CDTF">2015-06-05T18:17:20Z</dcterms:created>
  <dcterms:modified xsi:type="dcterms:W3CDTF">2024-10-23T06:44:27Z</dcterms:modified>
</cp:coreProperties>
</file>